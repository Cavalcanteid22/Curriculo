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ientações" sheetId="1" r:id="rId1"/>
    <sheet name="Instrumento" sheetId="2" r:id="rId2"/>
    <sheet name="Escala" sheetId="3" r:id="rId3"/>
    <sheet name="Escore consolidado" sheetId="4" r:id="rId4"/>
    <sheet name="Plano de ação" sheetId="5" r:id="rId5"/>
  </sheets>
</workbook>
</file>

<file path=xl/styles.xml><?xml version="1.0" encoding="utf-8"?>
<styleSheet xmlns="http://schemas.openxmlformats.org/spreadsheetml/2006/main">
  <fonts count="4">
    <font>
      <sz val="10"/>
      <color rgb="FF0B0B0B"/>
      <name val="Calibri"/>
    </font>
    <font>
      <b/>
      <sz val="10"/>
      <color rgb="FFFFFFFF"/>
      <name val="Calibri"/>
    </font>
    <font>
      <b/>
      <sz val="10"/>
      <color rgb="FF0B0B0B"/>
      <name val="Calibri"/>
    </font>
    <font>
      <b/>
      <sz val="14"/>
      <color rgb="FF0B0B0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D8F0D8"/>
        <bgColor indexed="64"/>
      </patternFill>
    </fill>
    <fill>
      <patternFill patternType="solid">
        <fgColor rgb="FFFCE7A8"/>
        <bgColor indexed="64"/>
      </patternFill>
    </fill>
    <fill>
      <patternFill patternType="solid">
        <fgColor rgb="FFF4B9B8"/>
        <bgColor indexed="64"/>
      </patternFill>
    </fill>
    <fill>
      <patternFill patternType="solid">
        <fgColor rgb="FFEAF1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0" fillId="0" borderId="0" xfId="0" applyFont="1" applyFill="1" applyAlignment="1">
      <alignment vertical="top" wrapText="1"/>
    </xf>
    <xf numFmtId="0" fontId="0" fillId="3" borderId="0" xfId="0" applyFont="1" applyFill="1" applyAlignment="1">
      <alignment vertical="top"/>
    </xf>
    <xf numFmtId="0" fontId="0" fillId="4" borderId="0" xfId="0" applyFont="1" applyFill="1" applyAlignment="1">
      <alignment vertical="top"/>
    </xf>
    <xf numFmtId="0" fontId="0" fillId="5" borderId="0" xfId="0" applyFont="1" applyFill="1" applyAlignment="1">
      <alignment vertical="top"/>
    </xf>
    <xf numFmtId="0" fontId="0" fillId="6" borderId="0" xfId="0" applyFont="1" applyFill="1" applyAlignment="1">
      <alignment vertical="top"/>
    </xf>
  </cellXfs>
  <cellStyles count="1">
    <cellStyle name="Normal" xfId="0" builtinId="0"/>
  </cellStyles>
  <dxfs count="3">
    <dxf>
      <fill>
        <patternFill>
          <bgColor rgb="FFF4B9B8"/>
        </patternFill>
      </fill>
    </dxf>
    <dxf>
      <fill>
        <patternFill>
          <bgColor rgb="FFFCE7A8"/>
        </patternFill>
      </fill>
    </dxf>
    <dxf>
      <fill>
        <patternFill>
          <bgColor rgb="FFD8F0D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3" topLeftCell="A4" activePane="bottomLeft" state="frozen"/>
    </sheetView>
  </sheetViews>
  <sheetFormatPr defaultRowHeight="15"/>
  <cols>
    <col min="1" max="1" width="30" customWidth="1"/>
    <col min="2" max="2" width="80" customWidth="1"/>
  </cols>
  <sheetData>
    <row r="1">
      <c r="A1" s="3" t="inlineStr">
        <is>
          <t xml:space="preserve">Instrumento de avaliação qualitativa — SIM</t>
        </is>
      </c>
    </row>
    <row r="2">
      <c r="A2" t="inlineStr">
        <is>
          <t xml:space="preserve">Sistema de Informação sobre Mortalidade</t>
        </is>
      </c>
    </row>
    <row r="3">
      <c r="A3" t="inlineStr">
        <is>
          <t xml:space="preserve">Subcoordenadoria de Informação em Saúde — SMS Salvador</t>
        </is>
      </c>
    </row>
    <row r="4"/>
    <row r="5">
      <c r="A5" s="1" t="inlineStr">
        <is>
          <t xml:space="preserve">Item</t>
        </is>
      </c>
      <c r="B5" s="1" t="inlineStr">
        <is>
          <t xml:space="preserve">Orientação</t>
        </is>
      </c>
    </row>
    <row r="6">
      <c r="A6" s="2" t="inlineStr">
        <is>
          <t xml:space="preserve">Para que serve</t>
        </is>
      </c>
      <c r="B6" s="4" t="inlineStr">
        <is>
          <t xml:space="preserve">Avaliar, com evidência, os atributos de qualidade que não podem ser medidos diretamente na base de dados exportada.</t>
        </is>
      </c>
    </row>
    <row r="7">
      <c r="A7" s="2" t="inlineStr">
        <is>
          <t xml:space="preserve">Quem preenche</t>
        </is>
      </c>
      <c r="B7" s="4" t="inlineStr">
        <is>
          <t xml:space="preserve">Técnico responsável pelo sistema na Subcoordenadoria de Informação em Saúde, preferencialmente em dupla, com validação da coordenação.</t>
        </is>
      </c>
    </row>
    <row r="8">
      <c r="A8" s="2" t="inlineStr">
        <is>
          <t xml:space="preserve">Periodicidade</t>
        </is>
      </c>
      <c r="B8" s="4" t="inlineStr">
        <is>
          <t xml:space="preserve">Trimestral, e sempre que houver mudança de versão do sistema.</t>
        </is>
      </c>
    </row>
    <row r="9">
      <c r="A9" s="2" t="inlineStr">
        <is>
          <t xml:space="preserve">Como preencher</t>
        </is>
      </c>
      <c r="B9" s="4" t="inlineStr">
        <is>
          <t xml:space="preserve">Na aba 'Instrumento', escolha a nota de 1 a 5 na lista suspensa da coluna D. A cor da célula muda sozinha. Registre SEMPRE a evidência observada na coluna G — sem evidência, a nota não é auditável.</t>
        </is>
      </c>
    </row>
    <row r="10">
      <c r="A10" s="2" t="inlineStr">
        <is>
          <t xml:space="preserve">Como o escore é calculado</t>
        </is>
      </c>
      <c r="B10" s="4" t="inlineStr">
        <is>
          <t xml:space="preserve">Escore = soma(nota × peso) ÷ soma(pesos), convertido para base 100 (multiplicado por 20). As fórmulas já estão prontas.</t>
        </is>
      </c>
    </row>
    <row r="11">
      <c r="A11" s="2" t="inlineStr">
        <is>
          <t xml:space="preserve">Escore final do sistema</t>
        </is>
      </c>
      <c r="B11" s="4" t="inlineStr">
        <is>
          <t xml:space="preserve">A aba 'Escore consolidado' combina este resultado qualitativo com o escore automático calculado sobre a base de dados.</t>
        </is>
      </c>
    </row>
    <row r="12">
      <c r="A12" s="2" t="inlineStr">
        <is>
          <t xml:space="preserve">Uso do resultado</t>
        </is>
      </c>
      <c r="B12" s="4" t="inlineStr">
        <is>
          <t xml:space="preserve">Alimenta o relatório trimestral do setor, o plano de ação da aba 'Plano de ação' e a série histórica de acompanhamento.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6" topLeftCell="B7" activePane="bottomRight" state="frozen"/>
    </sheetView>
  </sheetViews>
  <sheetFormatPr defaultRowHeight="15"/>
  <cols>
    <col min="1" max="1" width="24" customWidth="1"/>
    <col min="2" max="2" width="52" customWidth="1"/>
    <col min="3" max="3" width="44" customWidth="1"/>
    <col min="4" max="4" width="10" customWidth="1"/>
    <col min="5" max="5" width="8" customWidth="1"/>
    <col min="6" max="6" width="14" customWidth="1"/>
    <col min="7" max="7" width="46" customWidth="1"/>
    <col min="8" max="8" width="20" customWidth="1"/>
    <col min="9" max="9" width="14" customWidth="1"/>
  </cols>
  <sheetData>
    <row r="1">
      <c r="A1" s="3" t="inlineStr">
        <is>
          <t xml:space="preserve">Avaliação qualitativa — SIM</t>
        </is>
      </c>
    </row>
    <row r="2">
      <c r="A2" t="inlineStr">
        <is>
          <t xml:space="preserve">Sistema de Informação sobre Mortalidade</t>
        </is>
      </c>
    </row>
    <row r="3">
      <c r="A3" s="2" t="inlineStr">
        <is>
          <t xml:space="preserve">Avaliador(es):</t>
        </is>
      </c>
      <c r="B3" s="2"/>
      <c r="C3" s="2" t="inlineStr">
        <is>
          <t xml:space="preserve">Data da avaliação:</t>
        </is>
      </c>
      <c r="D3" s="2"/>
      <c r="E3" s="2" t="inlineStr">
        <is>
          <t xml:space="preserve">Período de referência:</t>
        </is>
      </c>
      <c r="F3" s="2"/>
    </row>
    <row r="4">
      <c r="A4" s="2" t="inlineStr">
        <is>
          <t xml:space="preserve">Versão do sistema avaliada:</t>
        </is>
      </c>
      <c r="B4" s="2"/>
      <c r="C4" s="2" t="inlineStr">
        <is>
          <t xml:space="preserve">Validado por:</t>
        </is>
      </c>
      <c r="D4" s="2"/>
    </row>
    <row r="5"/>
    <row r="6">
      <c r="A6" s="1" t="inlineStr">
        <is>
          <t xml:space="preserve">Atributo</t>
        </is>
      </c>
      <c r="B6" s="1" t="inlineStr">
        <is>
          <t xml:space="preserve">Definição operacional</t>
        </is>
      </c>
      <c r="C6" s="1" t="inlineStr">
        <is>
          <t xml:space="preserve">Evidência a verificar</t>
        </is>
      </c>
      <c r="D6" s="1" t="inlineStr">
        <is>
          <t xml:space="preserve">Nota (1-5)</t>
        </is>
      </c>
      <c r="E6" s="1" t="inlineStr">
        <is>
          <t xml:space="preserve">Peso</t>
        </is>
      </c>
      <c r="F6" s="1" t="inlineStr">
        <is>
          <t xml:space="preserve">Nota ponderada</t>
        </is>
      </c>
      <c r="G6" s="1" t="inlineStr">
        <is>
          <t xml:space="preserve">Evidência observada / justificativa</t>
        </is>
      </c>
      <c r="H6" s="1" t="inlineStr">
        <is>
          <t xml:space="preserve">Responsável</t>
        </is>
      </c>
      <c r="I6" s="1" t="inlineStr">
        <is>
          <t xml:space="preserve">Data</t>
        </is>
      </c>
    </row>
    <row r="7">
      <c r="A7" s="2" t="inlineStr">
        <is>
          <t xml:space="preserve">Clareza</t>
        </is>
      </c>
      <c r="B7" s="4" t="inlineStr">
        <is>
          <t xml:space="preserve">A informação é apresentada sem obscuridade ao usuário do sistema.</t>
        </is>
      </c>
      <c r="C7" s="4" t="inlineStr">
        <is>
          <t xml:space="preserve">Telas e relatórios do sistema; Rótulos dos campos</t>
        </is>
      </c>
      <c r="E7">
        <v>2.0</v>
      </c>
      <c r="F7">
        <f>IF(D7="","",D7*E7)</f>
      </c>
      <c r="G7" s="4"/>
    </row>
    <row r="8">
      <c r="A8" s="2" t="inlineStr">
        <is>
          <t xml:space="preserve">Acessibilidade</t>
        </is>
      </c>
      <c r="B8" s="4" t="inlineStr">
        <is>
          <t xml:space="preserve">Facilidade de obter o dado por quem tem perfil para tanto.</t>
        </is>
      </c>
      <c r="C8" s="4" t="inlineStr">
        <is>
          <t xml:space="preserve">Perfis de acesso; Tempo médio para liberação de acesso</t>
        </is>
      </c>
      <c r="E8">
        <v>3.0</v>
      </c>
      <c r="F8">
        <f>IF(D8="","",D8*E8)</f>
      </c>
      <c r="G8" s="4"/>
    </row>
    <row r="9">
      <c r="A9" s="2" t="inlineStr">
        <is>
          <t xml:space="preserve">Legibilidade</t>
        </is>
      </c>
      <c r="B9" s="4" t="inlineStr">
        <is>
          <t xml:space="preserve">Facilidade de leitura de telas, relatórios e exportações.</t>
        </is>
      </c>
      <c r="C9" s="4" t="inlineStr">
        <is>
          <t xml:space="preserve">Exportações CSV/DBF; Relatórios impressos</t>
        </is>
      </c>
      <c r="E9">
        <v>1.5</v>
      </c>
      <c r="F9">
        <f>IF(D9="","",D9*E9)</f>
      </c>
      <c r="G9" s="4"/>
    </row>
    <row r="10">
      <c r="A10" s="2" t="inlineStr">
        <is>
          <t xml:space="preserve">Pertinência</t>
        </is>
      </c>
      <c r="B10" s="4" t="inlineStr">
        <is>
          <t xml:space="preserve">O dado responde às perguntas de gestão do setor.</t>
        </is>
      </c>
      <c r="C10" s="4" t="inlineStr">
        <is>
          <t xml:space="preserve">Demandas atendidas x demandas recebidas</t>
        </is>
      </c>
      <c r="E10">
        <v>2.0</v>
      </c>
      <c r="F10">
        <f>IF(D10="","",D10*E10)</f>
      </c>
      <c r="G10" s="4"/>
    </row>
    <row r="11">
      <c r="A11" s="2" t="inlineStr">
        <is>
          <t xml:space="preserve">Utilidade</t>
        </is>
      </c>
      <c r="B11" s="4" t="inlineStr">
        <is>
          <t xml:space="preserve">O dado é efetivamente usado em decisões e produtos do setor.</t>
        </is>
      </c>
      <c r="C11" s="4" t="inlineStr">
        <is>
          <t xml:space="preserve">Boletins, painéis e notas técnicas produzidos</t>
        </is>
      </c>
      <c r="E11">
        <v>3.0</v>
      </c>
      <c r="F11">
        <f>IF(D11="","",D11*E11)</f>
      </c>
      <c r="G11" s="4"/>
    </row>
    <row r="12">
      <c r="A12" s="2" t="inlineStr">
        <is>
          <t xml:space="preserve">Compreensibilidade</t>
        </is>
      </c>
      <c r="B12" s="4" t="inlineStr">
        <is>
          <t xml:space="preserve">O usuário entende o significado do dado sem apoio externo.</t>
        </is>
      </c>
      <c r="C12" s="4" t="inlineStr">
        <is>
          <t xml:space="preserve">Dicionário de dados disponível; Treinamentos</t>
        </is>
      </c>
      <c r="E12">
        <v>2.0</v>
      </c>
      <c r="F12">
        <f>IF(D12="","",D12*E12)</f>
      </c>
      <c r="G12" s="4"/>
    </row>
    <row r="13">
      <c r="A13" s="2" t="inlineStr">
        <is>
          <t xml:space="preserve">Concisão</t>
        </is>
      </c>
      <c r="B13" s="4" t="inlineStr">
        <is>
          <t xml:space="preserve">Ausência de redundância entre campos e relatórios.</t>
        </is>
      </c>
      <c r="C13" s="4" t="inlineStr">
        <is>
          <t xml:space="preserve">Campos redundantes identificados</t>
        </is>
      </c>
      <c r="E13">
        <v>1.0</v>
      </c>
      <c r="F13">
        <f>IF(D13="","",D13*E13)</f>
      </c>
      <c r="G13" s="4"/>
    </row>
    <row r="14">
      <c r="A14" s="2" t="inlineStr">
        <is>
          <t xml:space="preserve">Localizabilidade</t>
        </is>
      </c>
      <c r="B14" s="4" t="inlineStr">
        <is>
          <t xml:space="preserve">Facilidade de encontrar um registro ou variável específica.</t>
        </is>
      </c>
      <c r="C14" s="4" t="inlineStr">
        <is>
          <t xml:space="preserve">Recursos de busca e filtro do sistema</t>
        </is>
      </c>
      <c r="E14">
        <v>1.5</v>
      </c>
      <c r="F14">
        <f>IF(D14="","",D14*E14)</f>
      </c>
      <c r="G14" s="4"/>
    </row>
    <row r="15">
      <c r="A15" s="2" t="inlineStr">
        <is>
          <t xml:space="preserve">Tempo de resposta</t>
        </is>
      </c>
      <c r="B15" s="4" t="inlineStr">
        <is>
          <t xml:space="preserve">Tempo do sistema para consultas, exportações e cargas.</t>
        </is>
      </c>
      <c r="C15" s="4" t="inlineStr">
        <is>
          <t xml:space="preserve">Medição cronometrada de 5 operações padrão</t>
        </is>
      </c>
      <c r="E15">
        <v>2.0</v>
      </c>
      <c r="F15">
        <f>IF(D15="","",D15*E15)</f>
      </c>
      <c r="G15" s="4"/>
    </row>
    <row r="16">
      <c r="A16" s="2" t="inlineStr">
        <is>
          <t xml:space="preserve">Segurança</t>
        </is>
      </c>
      <c r="B16" s="4" t="inlineStr">
        <is>
          <t xml:space="preserve">Proteção do dado (acesso, trilha de auditoria, LGPD).</t>
        </is>
      </c>
      <c r="C16" s="4" t="inlineStr">
        <is>
          <t xml:space="preserve">Política de senhas; Trilha de auditoria; Termo de sigilo</t>
        </is>
      </c>
      <c r="E16">
        <v>3.0</v>
      </c>
      <c r="F16">
        <f>IF(D16="","",D16*E16)</f>
      </c>
      <c r="G16" s="4"/>
    </row>
    <row r="17">
      <c r="A17" s="2" t="inlineStr">
        <is>
          <t xml:space="preserve">Simplicidade</t>
        </is>
      </c>
      <c r="B17" s="4" t="inlineStr">
        <is>
          <t xml:space="preserve">Esforço necessário para operar o sistema.</t>
        </is>
      </c>
      <c r="C17" s="4" t="inlineStr">
        <is>
          <t xml:space="preserve">Nº de passos para registrar uma notificação</t>
        </is>
      </c>
      <c r="E17">
        <v>2.0</v>
      </c>
      <c r="F17">
        <f>IF(D17="","",D17*E17)</f>
      </c>
      <c r="G17" s="4"/>
    </row>
    <row r="18">
      <c r="A18" s="2" t="inlineStr">
        <is>
          <t xml:space="preserve">Credibilidade</t>
        </is>
      </c>
      <c r="B18" s="4" t="inlineStr">
        <is>
          <t xml:space="preserve">Confiança que os usuários finais depositam no dado.</t>
        </is>
      </c>
      <c r="C18" s="4" t="inlineStr">
        <is>
          <t xml:space="preserve">Consulta estruturada a técnicos e gestores</t>
        </is>
      </c>
      <c r="E18">
        <v>2.5</v>
      </c>
      <c r="F18">
        <f>IF(D18="","",D18*E18)</f>
      </c>
      <c r="G18" s="4"/>
    </row>
    <row r="19">
      <c r="A19" s="2" t="inlineStr">
        <is>
          <t xml:space="preserve">Imparcialidade</t>
        </is>
      </c>
      <c r="B19" s="4" t="inlineStr">
        <is>
          <t xml:space="preserve">Ausência de viés sistemático de captação/registro.</t>
        </is>
      </c>
      <c r="C19" s="4" t="inlineStr">
        <is>
          <t xml:space="preserve">Comparação entre unidades notificadoras</t>
        </is>
      </c>
      <c r="E19">
        <v>1.5</v>
      </c>
      <c r="F19">
        <f>IF(D19="","",D19*E19)</f>
      </c>
      <c r="G19" s="4"/>
    </row>
    <row r="20">
      <c r="A20" s="2" t="inlineStr">
        <is>
          <t xml:space="preserve">Importância</t>
        </is>
      </c>
      <c r="B20" s="4" t="inlineStr">
        <is>
          <t xml:space="preserve">Peso do sistema para a vigilância e para a gestão municipal.</t>
        </is>
      </c>
      <c r="C20" s="4" t="inlineStr">
        <is>
          <t xml:space="preserve">Indicadores pactuados que dependem do sistema</t>
        </is>
      </c>
      <c r="E20">
        <v>2.0</v>
      </c>
      <c r="F20">
        <f>IF(D20="","",D20*E20)</f>
      </c>
      <c r="G20" s="4"/>
    </row>
    <row r="21">
      <c r="A21" s="2" t="inlineStr">
        <is>
          <t xml:space="preserve">Significância</t>
        </is>
      </c>
      <c r="B21" s="4" t="inlineStr">
        <is>
          <t xml:space="preserve">Capacidade do dado de alterar decisões.</t>
        </is>
      </c>
      <c r="C21" s="4" t="inlineStr">
        <is>
          <t xml:space="preserve">Decisões tomadas com base no sistema no período</t>
        </is>
      </c>
      <c r="E21">
        <v>1.5</v>
      </c>
      <c r="F21">
        <f>IF(D21="","",D21*E21)</f>
      </c>
      <c r="G21" s="4"/>
    </row>
    <row r="22">
      <c r="A22" s="2" t="inlineStr">
        <is>
          <t xml:space="preserve">Conveniência</t>
        </is>
      </c>
      <c r="B22" s="4" t="inlineStr">
        <is>
          <t xml:space="preserve">Adequação do sistema à rotina dos serviços.</t>
        </is>
      </c>
      <c r="C22" s="4" t="inlineStr">
        <is>
          <t xml:space="preserve">Relato das unidades notificadoras</t>
        </is>
      </c>
      <c r="E22">
        <v>1.5</v>
      </c>
      <c r="F22">
        <f>IF(D22="","",D22*E22)</f>
      </c>
      <c r="G22" s="4"/>
    </row>
    <row r="23">
      <c r="A23" s="2" t="inlineStr">
        <is>
          <t xml:space="preserve">Interpretabilidade</t>
        </is>
      </c>
      <c r="B23" s="4" t="inlineStr">
        <is>
          <t xml:space="preserve">Existência de metadados que permitam interpretar o dado.</t>
        </is>
      </c>
      <c r="C23" s="4" t="inlineStr">
        <is>
          <t xml:space="preserve">Dicionário, notas metodológicas, versões</t>
        </is>
      </c>
      <c r="E23">
        <v>2.0</v>
      </c>
      <c r="F23">
        <f>IF(D23="","",D23*E23)</f>
      </c>
      <c r="G23" s="4"/>
    </row>
    <row r="24">
      <c r="A24" s="2" t="inlineStr">
        <is>
          <t xml:space="preserve">Relevância</t>
        </is>
      </c>
      <c r="B24" s="4" t="inlineStr">
        <is>
          <t xml:space="preserve">Aderência do conteúdo às prioridades de saúde do município.</t>
        </is>
      </c>
      <c r="C24" s="4" t="inlineStr">
        <is>
          <t xml:space="preserve">Plano Municipal de Saúde; Lista de agravos prioritários</t>
        </is>
      </c>
      <c r="E24">
        <v>2.5</v>
      </c>
      <c r="F24">
        <f>IF(D24="","",D24*E24)</f>
      </c>
      <c r="G24" s="4"/>
    </row>
    <row r="25">
      <c r="A25" s="2" t="inlineStr">
        <is>
          <t xml:space="preserve">TOTAL</t>
        </is>
      </c>
      <c r="B25" s="2"/>
      <c r="C25" s="2"/>
      <c r="D25" s="2"/>
      <c r="E25" s="2">
        <f>SUM(E7:E24)</f>
      </c>
      <c r="F25" s="2">
        <f>SUM(F7:F24)</f>
      </c>
      <c r="G25" s="2"/>
      <c r="H25" s="2"/>
      <c r="I25" s="2"/>
    </row>
    <row r="26">
      <c r="A26" s="2" t="inlineStr">
        <is>
          <t xml:space="preserve">ESCORE QUALITATIVO (0 a 100)</t>
        </is>
      </c>
      <c r="F26" s="8">
        <f>IF(E25=0,"",F25/E25*20)</f>
      </c>
    </row>
    <row r="27">
      <c r="A27" s="2" t="inlineStr">
        <is>
          <t xml:space="preserve">Atributos avaliados</t>
        </is>
      </c>
      <c r="D27">
        <f>COUNT(D7:D24)</f>
      </c>
      <c r="G27" t="inlineStr">
        <is>
          <t xml:space="preserve">de 18 previstos</t>
        </is>
      </c>
    </row>
  </sheetData>
  <autoFilter ref="A1:I27"/>
  <conditionalFormatting sqref="D7:D24">
    <cfRule type="expression" dxfId="0" priority="1">
      <formula>AND($D7&lt;&gt;"",$D7&lt;=2)</formula>
    </cfRule>
  </conditionalFormatting>
  <conditionalFormatting sqref="D7:D24">
    <cfRule type="expression" dxfId="1" priority="2">
      <formula>$D7=3</formula>
    </cfRule>
  </conditionalFormatting>
  <conditionalFormatting sqref="D7:D24">
    <cfRule type="expression" dxfId="2" priority="3">
      <formula>$D7&gt;=4</formula>
    </cfRule>
  </conditionalFormatting>
  <conditionalFormatting sqref="A7:I24">
    <cfRule type="expression" dxfId="0" priority="4">
      <formula>AND($D7&lt;&gt;"",$D7&lt;=2,$G7="")</formula>
    </cfRule>
  </conditionalFormatting>
  <dataValidations count="1">
    <dataValidation type="list" allowBlank="1" showInputMessage="1" showErrorMessage="1" sqref="D7:D24">
      <formula1>"1,2,3,4,5"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xSplit="0" ySplit="2" topLeftCell="A3" activePane="bottomLeft" state="frozen"/>
    </sheetView>
  </sheetViews>
  <sheetFormatPr defaultRowHeight="15"/>
  <cols>
    <col min="1" max="1" width="10" customWidth="1"/>
    <col min="2" max="2" width="28" customWidth="1"/>
    <col min="3" max="3" width="80" customWidth="1"/>
  </cols>
  <sheetData>
    <row r="1">
      <c r="A1" s="3" t="inlineStr">
        <is>
          <t xml:space="preserve">Escala de avaliação (1 a 5)</t>
        </is>
      </c>
    </row>
    <row r="2">
      <c r="A2" s="1" t="inlineStr">
        <is>
          <t xml:space="preserve">Nota</t>
        </is>
      </c>
      <c r="B2" s="1" t="inlineStr">
        <is>
          <t xml:space="preserve">Significado</t>
        </is>
      </c>
      <c r="C2" s="1" t="inlineStr">
        <is>
          <t xml:space="preserve">Descritor</t>
        </is>
      </c>
    </row>
    <row r="3">
      <c r="A3" s="7">
        <v>1</v>
      </c>
      <c r="B3" s="7" t="inlineStr">
        <is>
          <t xml:space="preserve">Muito insatisfatório</t>
        </is>
      </c>
      <c r="C3" s="4" t="inlineStr">
        <is>
          <t xml:space="preserve">O atributo praticamente não é atendido; há prejuízo direto ao trabalho.</t>
        </is>
      </c>
    </row>
    <row r="4">
      <c r="A4" s="7">
        <v>2</v>
      </c>
      <c r="B4" s="7" t="inlineStr">
        <is>
          <t xml:space="preserve">Insatisfatório</t>
        </is>
      </c>
      <c r="C4" s="4" t="inlineStr">
        <is>
          <t xml:space="preserve">Atendido de forma precária; exige contorno manual frequente.</t>
        </is>
      </c>
    </row>
    <row r="5">
      <c r="A5" s="6">
        <v>3</v>
      </c>
      <c r="B5" s="6" t="inlineStr">
        <is>
          <t xml:space="preserve">Regular</t>
        </is>
      </c>
      <c r="C5" s="4" t="inlineStr">
        <is>
          <t xml:space="preserve">Atendido parcialmente; funciona, mas com limitações relevantes.</t>
        </is>
      </c>
    </row>
    <row r="6">
      <c r="A6" s="5">
        <v>4</v>
      </c>
      <c r="B6" s="5" t="inlineStr">
        <is>
          <t xml:space="preserve">Bom</t>
        </is>
      </c>
      <c r="C6" s="4" t="inlineStr">
        <is>
          <t xml:space="preserve">Atendido na maior parte das situações; limitações pontuais.</t>
        </is>
      </c>
    </row>
    <row r="7">
      <c r="A7" s="5">
        <v>5</v>
      </c>
      <c r="B7" s="5" t="inlineStr">
        <is>
          <t xml:space="preserve">Muito bom</t>
        </is>
      </c>
      <c r="C7" s="4" t="inlineStr">
        <is>
          <t xml:space="preserve">Plenamente atendido; não gera retrabalho nem dúvida.</t>
        </is>
      </c>
    </row>
    <row r="8"/>
    <row r="9">
      <c r="A9" s="2" t="inlineStr">
        <is>
          <t xml:space="preserve">Regra de ouro: nota sem evidência registrada não é válida — a linha fica vermelha até a evidência ser preenchida.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0" ySplit="2" topLeftCell="A3" activePane="bottomLeft" state="frozen"/>
    </sheetView>
  </sheetViews>
  <sheetFormatPr defaultRowHeight="15"/>
  <cols>
    <col min="1" max="1" width="34" customWidth="1"/>
    <col min="2" max="2" width="14" customWidth="1"/>
    <col min="3" max="3" width="16" customWidth="1"/>
    <col min="4" max="4" width="60" customWidth="1"/>
  </cols>
  <sheetData>
    <row r="1">
      <c r="A1" s="3" t="inlineStr">
        <is>
          <t xml:space="preserve">Escore consolidado da qualidade — SIM</t>
        </is>
      </c>
    </row>
    <row r="2">
      <c r="A2" s="1" t="inlineStr">
        <is>
          <t xml:space="preserve">Componente</t>
        </is>
      </c>
      <c r="B2" s="1" t="inlineStr">
        <is>
          <t xml:space="preserve">Valor (%)</t>
        </is>
      </c>
      <c r="C2" s="1" t="inlineStr">
        <is>
          <t xml:space="preserve">Peso</t>
        </is>
      </c>
      <c r="D2" s="1" t="inlineStr">
        <is>
          <t xml:space="preserve">Origem</t>
        </is>
      </c>
    </row>
    <row r="3">
      <c r="A3" t="inlineStr">
        <is>
          <t xml:space="preserve">Atributos medidos na base (automático)</t>
        </is>
      </c>
      <c r="B3">
        <v>89.48</v>
      </c>
      <c r="C3">
        <v>2.0</v>
      </c>
      <c r="D3" t="inlineStr">
        <is>
          <t xml:space="preserve">Calculado pelo QualiSIS sobre o CSV do sistema</t>
        </is>
      </c>
    </row>
    <row r="4">
      <c r="A4" t="inlineStr">
        <is>
          <t xml:space="preserve">Atributos avaliados por instrumento (qualitativo)</t>
        </is>
      </c>
      <c r="B4">
        <f>'Instrumento'!F26</f>
      </c>
      <c r="C4">
        <v>1.0</v>
      </c>
      <c r="D4" t="inlineStr">
        <is>
          <t xml:space="preserve">Aba 'Instrumento' desta planilha</t>
        </is>
      </c>
    </row>
    <row r="5">
      <c r="A5" s="2" t="inlineStr">
        <is>
          <t xml:space="preserve">ESCORE FINAL DO SISTEMA</t>
        </is>
      </c>
      <c r="B5" s="8">
        <f>IFERROR((B3*C3+B4*C4)/(C3+C4),"")</f>
      </c>
      <c r="D5" t="inlineStr">
        <is>
          <t xml:space="preserve">Média ponderada dos dois componentes</t>
        </is>
      </c>
    </row>
    <row r="6"/>
    <row r="7">
      <c r="A7" s="2" t="inlineStr">
        <is>
          <t xml:space="preserve">Indicadores automáticos da última execução</t>
        </is>
      </c>
    </row>
    <row r="8">
      <c r="A8" s="1" t="inlineStr">
        <is>
          <t xml:space="preserve">Atributo</t>
        </is>
      </c>
      <c r="B8" s="1" t="inlineStr">
        <is>
          <t xml:space="preserve">Valor (%)</t>
        </is>
      </c>
      <c r="C8" s="1" t="inlineStr">
        <is>
          <t xml:space="preserve">Classificação</t>
        </is>
      </c>
      <c r="D8" s="1" t="inlineStr">
        <is>
          <t xml:space="preserve">Como é calculado</t>
        </is>
      </c>
    </row>
    <row r="9">
      <c r="A9" t="inlineStr">
        <is>
          <t xml:space="preserve">Completude</t>
        </is>
      </c>
      <c r="B9">
        <v>99.53</v>
      </c>
      <c r="C9" t="inlineStr">
        <is>
          <t xml:space="preserve">Excelente</t>
        </is>
      </c>
      <c r="D9" s="4" t="inlineStr">
        <is>
          <t xml:space="preserve">campos essenciais preenchidos ÷ (registros × campos essenciais)</t>
        </is>
      </c>
    </row>
    <row r="10">
      <c r="A10" t="inlineStr">
        <is>
          <t xml:space="preserve">Suficiência</t>
        </is>
      </c>
      <c r="B10">
        <v>92.52</v>
      </c>
      <c r="C10" t="inlineStr">
        <is>
          <t xml:space="preserve">Bom</t>
        </is>
      </c>
      <c r="D10" s="4" t="inlineStr">
        <is>
          <t xml:space="preserve">registros com TODOS os campos essenciais preenchidos ÷ registros</t>
        </is>
      </c>
    </row>
    <row r="11">
      <c r="A11" t="inlineStr">
        <is>
          <t xml:space="preserve">Confiabilidade</t>
        </is>
      </c>
      <c r="B11">
        <v>93.08</v>
      </c>
      <c r="C11" t="inlineStr">
        <is>
          <t xml:space="preserve">Bom</t>
        </is>
      </c>
      <c r="D11" s="4" t="inlineStr">
        <is>
          <t xml:space="preserve">campos preenchidos com valor informativo ÷ campos preenchidos (exclui 'ignorado'/'não informado')</t>
        </is>
      </c>
    </row>
    <row r="12">
      <c r="A12" t="inlineStr">
        <is>
          <t xml:space="preserve">Validade</t>
        </is>
      </c>
      <c r="B12">
        <v>98.76</v>
      </c>
      <c r="C12" t="inlineStr">
        <is>
          <t xml:space="preserve">Excelente</t>
        </is>
      </c>
      <c r="D12" s="4" t="inlineStr">
        <is>
          <t xml:space="preserve">valores dentro do domínio ÷ valores preenchidos em campos com domínio definido</t>
        </is>
      </c>
    </row>
    <row r="13">
      <c r="A13" t="inlineStr">
        <is>
          <t xml:space="preserve">Correção</t>
        </is>
      </c>
      <c r="B13">
        <v>98.24</v>
      </c>
      <c r="C13" t="inlineStr">
        <is>
          <t xml:space="preserve">Excelente</t>
        </is>
      </c>
      <c r="D13" s="4" t="inlineStr">
        <is>
          <t xml:space="preserve">campos sem erro detectável (domínio, data, formato, faixa) ÷ campos preenchidos</t>
        </is>
      </c>
    </row>
    <row r="14">
      <c r="A14" t="inlineStr">
        <is>
          <t xml:space="preserve">Precisão</t>
        </is>
      </c>
      <c r="B14">
        <v>99.88</v>
      </c>
      <c r="C14" t="inlineStr">
        <is>
          <t xml:space="preserve">Excelente</t>
        </is>
      </c>
      <c r="D14" s="4" t="inlineStr">
        <is>
          <t xml:space="preserve">campos sem erro de faixa/formato ÷ campos preenchidos</t>
        </is>
      </c>
    </row>
    <row r="15">
      <c r="A15" t="inlineStr">
        <is>
          <t xml:space="preserve">Coerência</t>
        </is>
      </c>
      <c r="B15">
        <v>93.85</v>
      </c>
      <c r="C15" t="inlineStr">
        <is>
          <t xml:space="preserve">Bom</t>
        </is>
      </c>
      <c r="D15" s="4" t="inlineStr">
        <is>
          <t xml:space="preserve">registros sem incoerência entre campos ÷ registros</t>
        </is>
      </c>
    </row>
    <row r="16">
      <c r="A16" t="inlineStr">
        <is>
          <t xml:space="preserve">Logicidade</t>
        </is>
      </c>
      <c r="B16">
        <v>71.93</v>
      </c>
      <c r="C16" t="inlineStr">
        <is>
          <t xml:space="preserve">Ruim</t>
        </is>
      </c>
      <c r="D16" s="4" t="inlineStr">
        <is>
          <t xml:space="preserve">registros sem incoerência lógica nem data impossível ÷ registros</t>
        </is>
      </c>
    </row>
    <row r="17">
      <c r="A17" t="inlineStr">
        <is>
          <t xml:space="preserve">Singularidade</t>
        </is>
      </c>
      <c r="B17">
        <v>99.34</v>
      </c>
      <c r="C17" t="inlineStr">
        <is>
          <t xml:space="preserve">Excelente</t>
        </is>
      </c>
      <c r="D17" s="4" t="inlineStr">
        <is>
          <t xml:space="preserve">registros não duplicados ÷ registros</t>
        </is>
      </c>
    </row>
    <row r="18">
      <c r="A18" t="inlineStr">
        <is>
          <t xml:space="preserve">Tempestividade</t>
        </is>
      </c>
      <c r="B18">
        <v>63.34</v>
      </c>
      <c r="C18" t="inlineStr">
        <is>
          <t xml:space="preserve">Ruim</t>
        </is>
      </c>
      <c r="D18" s="4" t="inlineStr">
        <is>
          <t xml:space="preserve">registros dentro do prazo pactuado ÷ registros com as duas datas preenchidas</t>
        </is>
      </c>
    </row>
    <row r="19">
      <c r="A19" t="inlineStr">
        <is>
          <t xml:space="preserve">Atualidade</t>
        </is>
      </c>
      <c r="B19">
        <v>100.0</v>
      </c>
      <c r="C19" t="inlineStr">
        <is>
          <t xml:space="preserve">Excelente</t>
        </is>
      </c>
      <c r="D19" s="4" t="inlineStr">
        <is>
          <t xml:space="preserve">100% se a defasagem entre a extração e o evento mais recente ≤ prazo aceitável; decai proporcionalmente acima disso</t>
        </is>
      </c>
    </row>
    <row r="20">
      <c r="A20" t="inlineStr">
        <is>
          <t xml:space="preserve">Abrangência</t>
        </is>
      </c>
      <c r="B20">
        <v>100.0</v>
      </c>
      <c r="C20" t="inlineStr">
        <is>
          <t xml:space="preserve">Excelente</t>
        </is>
      </c>
      <c r="D20" s="4" t="inlineStr">
        <is>
          <t xml:space="preserve">estratos (distritos/unidades) esperados presentes na base ÷ estratos esperados</t>
        </is>
      </c>
    </row>
    <row r="21">
      <c r="A21" t="inlineStr">
        <is>
          <t xml:space="preserve">Quantidade</t>
        </is>
      </c>
      <c r="C21" t="inlineStr">
        <is>
          <t xml:space="preserve">Não avaliado</t>
        </is>
      </c>
      <c r="D21" s="4" t="inlineStr">
        <is>
          <t xml:space="preserve">volume de registros do período — avaliado na comparação entre envios</t>
        </is>
      </c>
    </row>
    <row r="22">
      <c r="A22" t="inlineStr">
        <is>
          <t xml:space="preserve">Formato</t>
        </is>
      </c>
      <c r="B22">
        <v>100.0</v>
      </c>
      <c r="C22" t="inlineStr">
        <is>
          <t xml:space="preserve">Excelente</t>
        </is>
      </c>
      <c r="D22" s="4" t="inlineStr">
        <is>
          <t xml:space="preserve">campos com máscara/estrutura corretas ÷ campos preenchidos</t>
        </is>
      </c>
    </row>
    <row r="23">
      <c r="A23" t="inlineStr">
        <is>
          <t xml:space="preserve">Veracidade</t>
        </is>
      </c>
      <c r="B23">
        <v>70.27</v>
      </c>
      <c r="C23" t="inlineStr">
        <is>
          <t xml:space="preserve">Ruim</t>
        </is>
      </c>
      <c r="D23" s="4" t="inlineStr">
        <is>
          <t xml:space="preserve">registros sem indício de erro material (data impossível, valor implausível, incoerência) ÷ registros</t>
        </is>
      </c>
    </row>
    <row r="24">
      <c r="A24" t="inlineStr">
        <is>
          <t xml:space="preserve">Inequivocidade</t>
        </is>
      </c>
      <c r="B24">
        <v>92.49</v>
      </c>
      <c r="C24" t="inlineStr">
        <is>
          <t xml:space="preserve">Bom</t>
        </is>
      </c>
      <c r="D24" s="4" t="inlineStr">
        <is>
          <t xml:space="preserve">campos com significado único (sem 'ignorado' e sem código fora do domínio) ÷ campos preenchidos</t>
        </is>
      </c>
    </row>
    <row r="25">
      <c r="A25" t="inlineStr">
        <is>
          <t xml:space="preserve">Compatibilidade</t>
        </is>
      </c>
      <c r="B25">
        <v>90.2</v>
      </c>
      <c r="C25" t="inlineStr">
        <is>
          <t xml:space="preserve">Bom</t>
        </is>
      </c>
      <c r="D25" s="4" t="inlineStr">
        <is>
          <t xml:space="preserve">campos do dicionário oficial presentes na exportação ÷ campos do dicionário</t>
        </is>
      </c>
    </row>
    <row r="26">
      <c r="A26" t="inlineStr">
        <is>
          <t xml:space="preserve">Mensurabilidade</t>
        </is>
      </c>
      <c r="B26">
        <v>90.2</v>
      </c>
      <c r="C26" t="inlineStr">
        <is>
          <t xml:space="preserve">Bom</t>
        </is>
      </c>
      <c r="D26" s="4" t="inlineStr">
        <is>
          <t xml:space="preserve">variáveis necessárias aos indicadores do setor disponíveis na base</t>
        </is>
      </c>
    </row>
    <row r="27">
      <c r="A27" t="inlineStr">
        <is>
          <t xml:space="preserve">Valor informativo</t>
        </is>
      </c>
      <c r="B27">
        <v>56.55</v>
      </c>
      <c r="C27" t="inlineStr">
        <is>
          <t xml:space="preserve">Ruim</t>
        </is>
      </c>
      <c r="D27" s="4" t="inlineStr">
        <is>
          <t xml:space="preserve">campos preenchidos, válidos e não ignorados ÷ total de campos da base</t>
        </is>
      </c>
    </row>
    <row r="28">
      <c r="A28" t="inlineStr">
        <is>
          <t xml:space="preserve">Volume</t>
        </is>
      </c>
      <c r="C28" t="inlineStr">
        <is>
          <t xml:space="preserve">Não avaliado</t>
        </is>
      </c>
      <c r="D28" s="4" t="inlineStr">
        <is>
          <t xml:space="preserve">massa de dados processada (registros × campos)</t>
        </is>
      </c>
    </row>
    <row r="29">
      <c r="A29" t="inlineStr">
        <is>
          <t xml:space="preserve">Ordem</t>
        </is>
      </c>
      <c r="B29">
        <v>78.07</v>
      </c>
      <c r="C29" t="inlineStr">
        <is>
          <t xml:space="preserve">Ruim</t>
        </is>
      </c>
      <c r="D29" s="4" t="inlineStr">
        <is>
          <t xml:space="preserve">registros com sequência cronológica coerente ÷ registros</t>
        </is>
      </c>
    </row>
  </sheetData>
  <conditionalFormatting sqref="B3:B5">
    <cfRule type="expression" dxfId="0" priority="1">
      <formula>AND($B3&lt;&gt;"",$B3&lt;80)</formula>
    </cfRule>
  </conditionalFormatting>
  <conditionalFormatting sqref="B3:B5">
    <cfRule type="expression" dxfId="1" priority="2">
      <formula>AND($B3&gt;=80,$B3&lt;90)</formula>
    </cfRule>
  </conditionalFormatting>
  <conditionalFormatting sqref="B3:B5">
    <cfRule type="expression" dxfId="2" priority="3">
      <formula>$B3&gt;=90</formula>
    </cfRule>
  </conditionalFormatting>
</worksheet>
</file>

<file path=xl/worksheets/sheet5.xml><?xml version="1.0" encoding="utf-8"?>
<worksheet xmlns="http://schemas.openxmlformats.org/spreadsheetml/2006/main">
  <sheetViews>
    <sheetView workbookViewId="0">
      <pane xSplit="0" ySplit="2" topLeftCell="A3" activePane="bottomLeft" state="frozen"/>
    </sheetView>
  </sheetViews>
  <sheetFormatPr defaultRowHeight="15"/>
  <cols>
    <col min="1" max="1" width="22" customWidth="1"/>
    <col min="2" max="2" width="46" customWidth="1"/>
    <col min="3" max="3" width="46" customWidth="1"/>
    <col min="4" max="4" width="22" customWidth="1"/>
    <col min="5" max="5" width="14" customWidth="1"/>
    <col min="6" max="6" width="16" customWidth="1"/>
    <col min="7" max="7" width="30" customWidth="1"/>
  </cols>
  <sheetData>
    <row r="1">
      <c r="A1" s="1" t="inlineStr">
        <is>
          <t xml:space="preserve">Atributo / achado</t>
        </is>
      </c>
      <c r="B1" s="1" t="inlineStr">
        <is>
          <t xml:space="preserve">Problema identificado</t>
        </is>
      </c>
      <c r="C1" s="1" t="inlineStr">
        <is>
          <t xml:space="preserve">Ação pactuada</t>
        </is>
      </c>
      <c r="D1" s="1" t="inlineStr">
        <is>
          <t xml:space="preserve">Responsável</t>
        </is>
      </c>
      <c r="E1" s="1" t="inlineStr">
        <is>
          <t xml:space="preserve">Prazo</t>
        </is>
      </c>
      <c r="F1" s="1" t="inlineStr">
        <is>
          <t xml:space="preserve">Situação</t>
        </is>
      </c>
      <c r="G1" s="1" t="inlineStr">
        <is>
          <t xml:space="preserve">Observações</t>
        </is>
      </c>
    </row>
    <row r="2">
      <c r="A2" t="inlineStr">
        <is>
          <t xml:space="preserve">Completude</t>
        </is>
      </c>
      <c r="B2" t="inlineStr">
        <is>
          <t xml:space="preserve">Campo de escolaridade em branco em parte das notificações</t>
        </is>
      </c>
      <c r="C2" t="inlineStr">
        <is>
          <t xml:space="preserve">Devolutiva às unidades com maior lacuna e reforço no treinamento</t>
        </is>
      </c>
      <c r="F2" t="inlineStr">
        <is>
          <t xml:space="preserve">Não iniciada</t>
        </is>
      </c>
    </row>
    <row r="3">
      <c r="A3" t="inlineStr">
        <is>
          <t xml:space="preserve">Tempestividade</t>
        </is>
      </c>
      <c r="B3" t="inlineStr">
        <is>
          <t xml:space="preserve">Digitação fora do prazo pactuado</t>
        </is>
      </c>
      <c r="C3" t="inlineStr">
        <is>
          <t xml:space="preserve">Monitoramento semanal e alerta às unidades atrasadas</t>
        </is>
      </c>
      <c r="F3" t="inlineStr">
        <is>
          <t xml:space="preserve">Não iniciada</t>
        </is>
      </c>
    </row>
    <row r="4">
      <c r="A4" t="inlineStr">
        <is>
          <t xml:space="preserve">Singularidade</t>
        </is>
      </c>
      <c r="B4" t="inlineStr">
        <is>
          <t xml:space="preserve">Registros duplicados na base acumulada</t>
        </is>
      </c>
      <c r="C4" t="inlineStr">
        <is>
          <t xml:space="preserve">Rotina mensal de identificação e exclusão de duplicidades</t>
        </is>
      </c>
      <c r="F4" t="inlineStr">
        <is>
          <t xml:space="preserve">Não iniciada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A46" t="inlineStr">
        <is>
          <t xml:space="preserve">Gerado em 07/08/2026 — Subcoordenadoria de Informação em Saúde — SMS Salvador</t>
        </is>
      </c>
    </row>
  </sheetData>
  <autoFilter ref="A1:G46"/>
  <conditionalFormatting sqref="A2:G44">
    <cfRule type="expression" dxfId="2" priority="1">
      <formula>$F2="Concluída"</formula>
    </cfRule>
  </conditionalFormatting>
  <conditionalFormatting sqref="A2:G44">
    <cfRule type="expression" dxfId="1" priority="2">
      <formula>$F2="Em andamento"</formula>
    </cfRule>
  </conditionalFormatting>
  <conditionalFormatting sqref="A2:G44">
    <cfRule type="expression" dxfId="0" priority="3">
      <formula>$F2="Não iniciada"</formula>
    </cfRule>
  </conditionalFormatting>
  <dataValidations count="1">
    <dataValidation type="list" allowBlank="1" showInputMessage="1" showErrorMessage="1" sqref="F2:F44">
      <formula1>"Não iniciada,Em andamento,Concluída,Cancelada"</formula1>
    </dataValidation>
  </dataValidations>
</worksheet>
</file>